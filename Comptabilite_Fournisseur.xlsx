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Op. Poisson Séché" sheetId="2" state="visible" r:id="rId2"/>
    <sheet name="Op. Agro-alimentaire" sheetId="3" state="visible" r:id="rId3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 &quot;F&quot;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color rgb="00217346"/>
      <sz val="10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217346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AF4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9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left" vertical="center"/>
    </xf>
    <xf numFmtId="164" fontId="8" fillId="2" borderId="1" applyAlignment="1" pivotButton="0" quotePrefix="0" xfId="0">
      <alignment horizontal="right" vertical="center"/>
    </xf>
    <xf numFmtId="165" fontId="8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 ht="24" customHeight="1">
      <c r="A1" s="1" t="inlineStr">
        <is>
          <t>Tableau de Bord — Comptabilité Fournisseur</t>
        </is>
      </c>
    </row>
    <row r="2" ht="24" customHeight="1">
      <c r="A2" s="2" t="inlineStr">
        <is>
          <t>Vue consolidée de toutes les opérations commerciales</t>
        </is>
      </c>
    </row>
    <row r="3" ht="24" customHeight="1">
      <c r="A3" s="3" t="inlineStr">
        <is>
          <t>N°</t>
        </is>
      </c>
      <c r="B3" s="3" t="inlineStr">
        <is>
          <t>Activité</t>
        </is>
      </c>
      <c r="C3" s="3" t="inlineStr">
        <is>
          <t>Capital Disponible</t>
        </is>
      </c>
      <c r="D3" s="3" t="inlineStr">
        <is>
          <t>Capital Investi</t>
        </is>
      </c>
      <c r="E3" s="3" t="inlineStr">
        <is>
          <t>Capital en Caisse</t>
        </is>
      </c>
      <c r="F3" s="3" t="inlineStr">
        <is>
          <t>Chiffre d'Affaires</t>
        </is>
      </c>
      <c r="G3" s="3" t="inlineStr">
        <is>
          <t>Bénéfice Net</t>
        </is>
      </c>
      <c r="H3" s="3" t="inlineStr">
        <is>
          <t>Marge Nette</t>
        </is>
      </c>
    </row>
    <row r="4" ht="24" customHeight="1">
      <c r="A4" s="4" t="n">
        <v>1</v>
      </c>
      <c r="B4" s="5" t="inlineStr">
        <is>
          <t>Op. Poisson Séché</t>
        </is>
      </c>
      <c r="C4" s="6">
        <f>'Op. Poisson Séché'!B3</f>
        <v/>
      </c>
      <c r="D4" s="6">
        <f>'Op. Poisson Séché'!B4</f>
        <v/>
      </c>
      <c r="E4" s="6">
        <f>'Op. Poisson Séché'!B5</f>
        <v/>
      </c>
      <c r="F4" s="6">
        <f>'Op. Poisson Séché'!B9</f>
        <v/>
      </c>
      <c r="G4" s="6">
        <f>'Op. Poisson Séché'!B8</f>
        <v/>
      </c>
      <c r="H4" s="7">
        <f>'Op. Poisson Séché'!B10</f>
        <v/>
      </c>
    </row>
    <row r="5" ht="24" customHeight="1">
      <c r="A5" s="8" t="n">
        <v>2</v>
      </c>
      <c r="B5" s="9" t="inlineStr">
        <is>
          <t>Op. Agro-alimentaire</t>
        </is>
      </c>
      <c r="C5" s="10">
        <f>'Op. Agro-alimentaire'!B13</f>
        <v/>
      </c>
      <c r="D5" s="10">
        <f>'Op. Agro-alimentaire'!B14</f>
        <v/>
      </c>
      <c r="E5" s="10">
        <f>'Op. Agro-alimentaire'!B15</f>
        <v/>
      </c>
      <c r="F5" s="10">
        <f>'Op. Agro-alimentaire'!H10</f>
        <v/>
      </c>
      <c r="G5" s="10">
        <f>'Op. Agro-alimentaire'!I10</f>
        <v/>
      </c>
      <c r="H5" s="11">
        <f>'Op. Agro-alimentaire'!J10</f>
        <v/>
      </c>
    </row>
    <row r="6" ht="24" customHeight="1">
      <c r="A6" s="12" t="n"/>
      <c r="B6" s="13" t="inlineStr">
        <is>
          <t>TOTAL</t>
        </is>
      </c>
      <c r="C6" s="14">
        <f>SUM(C4:C5)</f>
        <v/>
      </c>
      <c r="D6" s="14">
        <f>SUM(D4:D5)</f>
        <v/>
      </c>
      <c r="E6" s="14">
        <f>SUM(E4:E5)</f>
        <v/>
      </c>
      <c r="F6" s="14">
        <f>SUM(F4:F5)</f>
        <v/>
      </c>
      <c r="G6" s="14">
        <f>SUM(G4:G5)</f>
        <v/>
      </c>
      <c r="H6" s="15">
        <f>G6/F6</f>
        <v/>
      </c>
    </row>
    <row r="7" ht="24" customHeight="1"/>
    <row r="8">
      <c r="A8" s="16" t="inlineStr">
        <is>
          <t>Pour ajouter une opération : créer une nouvelle feuille et ajouter une ligne dans ce tableau.</t>
        </is>
      </c>
    </row>
  </sheetData>
  <mergeCells count="3">
    <mergeCell ref="A8:H8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7" t="inlineStr">
        <is>
          <t>Opération — Poisson Séché</t>
        </is>
      </c>
    </row>
    <row r="2" ht="22" customHeight="1">
      <c r="A2" s="18" t="inlineStr">
        <is>
          <t>Désignation</t>
        </is>
      </c>
      <c r="B2" s="18" t="inlineStr">
        <is>
          <t>Montant</t>
        </is>
      </c>
      <c r="C2" s="18" t="inlineStr"/>
      <c r="D2" s="18" t="inlineStr"/>
      <c r="E2" s="18" t="inlineStr"/>
      <c r="F2" s="18" t="inlineStr"/>
      <c r="G2" s="18" t="inlineStr"/>
    </row>
    <row r="3" ht="22" customHeight="1">
      <c r="A3" s="5" t="inlineStr">
        <is>
          <t>Capital Disponible</t>
        </is>
      </c>
      <c r="B3" s="19" t="n">
        <v>200000</v>
      </c>
      <c r="C3" s="5" t="n"/>
      <c r="D3" s="5" t="n"/>
      <c r="E3" s="5" t="n"/>
      <c r="F3" s="5" t="n"/>
      <c r="G3" s="5" t="n"/>
    </row>
    <row r="4" ht="22" customHeight="1">
      <c r="A4" s="9" t="inlineStr">
        <is>
          <t>Capital Investi</t>
        </is>
      </c>
      <c r="B4" s="20" t="n">
        <v>150000</v>
      </c>
      <c r="C4" s="9" t="n"/>
      <c r="D4" s="9" t="n"/>
      <c r="E4" s="9" t="n"/>
      <c r="F4" s="9" t="n"/>
      <c r="G4" s="9" t="n"/>
    </row>
    <row r="5" ht="22" customHeight="1">
      <c r="A5" s="5" t="inlineStr">
        <is>
          <t>Capital en Caisse (non investi)</t>
        </is>
      </c>
      <c r="B5" s="6">
        <f>B3-B4</f>
        <v/>
      </c>
      <c r="C5" s="5" t="n"/>
      <c r="D5" s="5" t="n"/>
      <c r="E5" s="5" t="n"/>
      <c r="F5" s="5" t="n"/>
      <c r="G5" s="5" t="n"/>
    </row>
    <row r="6" ht="22" customHeight="1">
      <c r="A6" s="9" t="inlineStr">
        <is>
          <t>Vente 1 — Bénéfice réalisé</t>
        </is>
      </c>
      <c r="B6" s="20" t="n">
        <v>35000</v>
      </c>
      <c r="C6" s="9" t="n"/>
      <c r="D6" s="9" t="n"/>
      <c r="E6" s="9" t="n"/>
      <c r="F6" s="9" t="n"/>
      <c r="G6" s="9" t="n"/>
    </row>
    <row r="7" ht="22" customHeight="1">
      <c r="A7" s="5" t="inlineStr">
        <is>
          <t>Vente 2 — Bénéfice réalisé</t>
        </is>
      </c>
      <c r="B7" s="19" t="n">
        <v>48000</v>
      </c>
      <c r="C7" s="5" t="n"/>
      <c r="D7" s="5" t="n"/>
      <c r="E7" s="5" t="n"/>
      <c r="F7" s="5" t="n"/>
      <c r="G7" s="5" t="n"/>
    </row>
    <row r="8" ht="22" customHeight="1">
      <c r="A8" s="21" t="inlineStr">
        <is>
          <t>Bénéfice Net Total</t>
        </is>
      </c>
      <c r="B8" s="22">
        <f>B6+B7</f>
        <v/>
      </c>
      <c r="C8" s="23" t="n"/>
      <c r="D8" s="23" t="n"/>
      <c r="E8" s="23" t="n"/>
      <c r="F8" s="23" t="n"/>
      <c r="G8" s="23" t="n"/>
    </row>
    <row r="9" ht="22" customHeight="1">
      <c r="A9" s="21" t="inlineStr">
        <is>
          <t>Chiffre d'Affaires</t>
        </is>
      </c>
      <c r="B9" s="22">
        <f>B4+B8</f>
        <v/>
      </c>
      <c r="C9" s="23" t="n"/>
      <c r="D9" s="23" t="n"/>
      <c r="E9" s="23" t="n"/>
      <c r="F9" s="23" t="n"/>
      <c r="G9" s="23" t="n"/>
    </row>
    <row r="10" ht="22" customHeight="1">
      <c r="A10" s="9" t="inlineStr">
        <is>
          <t>Marge Nette</t>
        </is>
      </c>
      <c r="B10" s="11">
        <f>B8/B4</f>
        <v/>
      </c>
      <c r="C10" s="9" t="n"/>
      <c r="D10" s="9" t="n"/>
      <c r="E10" s="9" t="n"/>
      <c r="F10" s="9" t="n"/>
      <c r="G10" s="9" t="n"/>
    </row>
    <row r="11" ht="22" customHeight="1"/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6" customWidth="1" min="3" max="3"/>
    <col width="10" customWidth="1" min="4" max="4"/>
    <col width="13" customWidth="1" min="5" max="5"/>
    <col width="14" customWidth="1" min="6" max="6"/>
    <col width="13" customWidth="1" min="7" max="7"/>
    <col width="18" customWidth="1" min="8" max="8"/>
    <col width="14" customWidth="1" min="9" max="9"/>
    <col width="10" customWidth="1" min="10" max="10"/>
    <col width="4" customWidth="1" min="11" max="11"/>
  </cols>
  <sheetData>
    <row r="1" ht="22" customHeight="1">
      <c r="A1" s="17" t="inlineStr">
        <is>
          <t>Opération — Agro-alimentaire</t>
        </is>
      </c>
    </row>
    <row r="2" ht="22" customHeight="1">
      <c r="A2" s="2" t="inlineStr">
        <is>
          <t>Capital Disponible : 500 000 F   |   Capital Investi : 173 850 F   |   Capital en Caisse : 326 150 F</t>
        </is>
      </c>
    </row>
    <row r="3" ht="22" customHeight="1">
      <c r="A3" s="3" t="inlineStr">
        <is>
          <t>Produit</t>
        </is>
      </c>
      <c r="B3" s="3" t="inlineStr">
        <is>
          <t>Variété</t>
        </is>
      </c>
      <c r="C3" s="3" t="inlineStr">
        <is>
          <t>Qté</t>
        </is>
      </c>
      <c r="D3" s="3" t="inlineStr">
        <is>
          <t>Unité</t>
        </is>
      </c>
      <c r="E3" s="3" t="inlineStr">
        <is>
          <t>Prix Achat</t>
        </is>
      </c>
      <c r="F3" s="3" t="inlineStr">
        <is>
          <t>Coût Achat</t>
        </is>
      </c>
      <c r="G3" s="3" t="inlineStr">
        <is>
          <t>Prix Vente</t>
        </is>
      </c>
      <c r="H3" s="3" t="inlineStr">
        <is>
          <t>Chiffre d'Affaires</t>
        </is>
      </c>
      <c r="I3" s="3" t="inlineStr">
        <is>
          <t>Bénéfice</t>
        </is>
      </c>
      <c r="J3" s="3" t="inlineStr">
        <is>
          <t>Marge</t>
        </is>
      </c>
    </row>
    <row r="4" ht="22" customHeight="1">
      <c r="A4" s="5" t="inlineStr">
        <is>
          <t>Tomates</t>
        </is>
      </c>
      <c r="B4" s="5" t="inlineStr">
        <is>
          <t>Cobra</t>
        </is>
      </c>
      <c r="C4" s="24" t="n">
        <v>8</v>
      </c>
      <c r="D4" s="4" t="inlineStr">
        <is>
          <t>Caisse</t>
        </is>
      </c>
      <c r="E4" s="19" t="n">
        <v>7000</v>
      </c>
      <c r="F4" s="6">
        <f>C4*E4</f>
        <v/>
      </c>
      <c r="G4" s="19" t="n">
        <v>11000</v>
      </c>
      <c r="H4" s="6">
        <f>C4*G4</f>
        <v/>
      </c>
      <c r="I4" s="6">
        <f>H4-F4</f>
        <v/>
      </c>
      <c r="J4" s="7">
        <f>I4/H4</f>
        <v/>
      </c>
    </row>
    <row r="5" ht="22" customHeight="1">
      <c r="A5" s="9" t="inlineStr">
        <is>
          <t>Tomates</t>
        </is>
      </c>
      <c r="B5" s="9" t="inlineStr">
        <is>
          <t>Ndiamb</t>
        </is>
      </c>
      <c r="C5" s="25" t="n">
        <v>4</v>
      </c>
      <c r="D5" s="8" t="inlineStr">
        <is>
          <t>Caisse</t>
        </is>
      </c>
      <c r="E5" s="20" t="n">
        <v>5000</v>
      </c>
      <c r="F5" s="10">
        <f>C5*E5</f>
        <v/>
      </c>
      <c r="G5" s="20" t="n">
        <v>9000</v>
      </c>
      <c r="H5" s="10">
        <f>C5*G5</f>
        <v/>
      </c>
      <c r="I5" s="10">
        <f>H5-F5</f>
        <v/>
      </c>
      <c r="J5" s="11">
        <f>I5/H5</f>
        <v/>
      </c>
    </row>
    <row r="6" ht="22" customHeight="1">
      <c r="A6" s="5" t="inlineStr">
        <is>
          <t>Piment</t>
        </is>
      </c>
      <c r="B6" s="5" t="inlineStr">
        <is>
          <t>Sofia</t>
        </is>
      </c>
      <c r="C6" s="24" t="n">
        <v>28</v>
      </c>
      <c r="D6" s="4" t="inlineStr">
        <is>
          <t>kg</t>
        </is>
      </c>
      <c r="E6" s="19" t="n">
        <v>800</v>
      </c>
      <c r="F6" s="6">
        <f>C6*E6</f>
        <v/>
      </c>
      <c r="G6" s="19" t="n">
        <v>1500</v>
      </c>
      <c r="H6" s="6">
        <f>C6*G6</f>
        <v/>
      </c>
      <c r="I6" s="6">
        <f>H6-F6</f>
        <v/>
      </c>
      <c r="J6" s="7">
        <f>I6/H6</f>
        <v/>
      </c>
    </row>
    <row r="7" ht="22" customHeight="1">
      <c r="A7" s="9" t="inlineStr">
        <is>
          <t>Piment</t>
        </is>
      </c>
      <c r="B7" s="9" t="inlineStr">
        <is>
          <t>Jukuli</t>
        </is>
      </c>
      <c r="C7" s="25" t="n">
        <v>24</v>
      </c>
      <c r="D7" s="8" t="inlineStr">
        <is>
          <t>kg</t>
        </is>
      </c>
      <c r="E7" s="20" t="n">
        <v>800</v>
      </c>
      <c r="F7" s="10">
        <f>C7*E7</f>
        <v/>
      </c>
      <c r="G7" s="20" t="n">
        <v>1500</v>
      </c>
      <c r="H7" s="10">
        <f>C7*G7</f>
        <v/>
      </c>
      <c r="I7" s="10">
        <f>H7-F7</f>
        <v/>
      </c>
      <c r="J7" s="11">
        <f>I7/H7</f>
        <v/>
      </c>
    </row>
    <row r="8" ht="22" customHeight="1">
      <c r="A8" s="5" t="inlineStr">
        <is>
          <t>Kaani Salaat</t>
        </is>
      </c>
      <c r="B8" s="5" t="inlineStr">
        <is>
          <t>—</t>
        </is>
      </c>
      <c r="C8" s="24" t="n">
        <v>50</v>
      </c>
      <c r="D8" s="4" t="inlineStr">
        <is>
          <t>kg</t>
        </is>
      </c>
      <c r="E8" s="19" t="n">
        <v>325</v>
      </c>
      <c r="F8" s="6">
        <f>C8*E8</f>
        <v/>
      </c>
      <c r="G8" s="19" t="n">
        <v>500</v>
      </c>
      <c r="H8" s="6">
        <f>C8*G8</f>
        <v/>
      </c>
      <c r="I8" s="6">
        <f>H8-F8</f>
        <v/>
      </c>
      <c r="J8" s="7">
        <f>I8/H8</f>
        <v/>
      </c>
    </row>
    <row r="9" ht="22" customHeight="1">
      <c r="A9" s="26" t="inlineStr">
        <is>
          <t>Transport</t>
        </is>
      </c>
      <c r="B9" s="9" t="n"/>
      <c r="C9" s="9" t="n"/>
      <c r="D9" s="9" t="n"/>
      <c r="E9" s="9" t="n"/>
      <c r="F9" s="27" t="n">
        <v>40000</v>
      </c>
      <c r="G9" s="9" t="n"/>
      <c r="H9" s="9" t="n"/>
      <c r="I9" s="9" t="n"/>
      <c r="J9" s="9" t="n"/>
    </row>
    <row r="10" ht="22" customHeight="1">
      <c r="A10" s="13" t="inlineStr">
        <is>
          <t>TOTAL</t>
        </is>
      </c>
      <c r="B10" s="28" t="n"/>
      <c r="C10" s="28" t="n"/>
      <c r="D10" s="28" t="n"/>
      <c r="E10" s="28" t="n"/>
      <c r="F10" s="14">
        <f>SUM(F4:F8)+F9</f>
        <v/>
      </c>
      <c r="G10" s="28" t="n"/>
      <c r="H10" s="14">
        <f>SUM(H4:H8)</f>
        <v/>
      </c>
      <c r="I10" s="14">
        <f>H10-F10</f>
        <v/>
      </c>
      <c r="J10" s="15">
        <f>I10/H10</f>
        <v/>
      </c>
    </row>
    <row r="11" ht="22" customHeight="1"/>
    <row r="12">
      <c r="A12" s="28" t="inlineStr">
        <is>
          <t>BILAN DE L'OPÉRATION</t>
        </is>
      </c>
    </row>
    <row r="13" ht="22" customHeight="1">
      <c r="A13" s="23" t="inlineStr">
        <is>
          <t>Capital Disponible</t>
        </is>
      </c>
      <c r="B13" s="29" t="n">
        <v>500000</v>
      </c>
      <c r="C13" s="23" t="n"/>
      <c r="D13" s="23" t="n"/>
      <c r="E13" s="23" t="n"/>
      <c r="F13" s="23" t="n"/>
      <c r="G13" s="23" t="n"/>
      <c r="H13" s="23" t="n"/>
      <c r="I13" s="23" t="n"/>
      <c r="J13" s="23" t="n"/>
    </row>
    <row r="14" ht="22" customHeight="1">
      <c r="A14" s="5" t="inlineStr">
        <is>
          <t>Capital Investi</t>
        </is>
      </c>
      <c r="B14" s="30">
        <f>F10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>
      <c r="A15" s="23" t="inlineStr">
        <is>
          <t>Capital en Caisse</t>
        </is>
      </c>
      <c r="B15" s="22">
        <f>B13-B14</f>
        <v/>
      </c>
      <c r="C15" s="23" t="n"/>
      <c r="D15" s="23" t="n"/>
      <c r="E15" s="23" t="n"/>
      <c r="F15" s="23" t="n"/>
      <c r="G15" s="23" t="n"/>
      <c r="H15" s="23" t="n"/>
      <c r="I15" s="23" t="n"/>
      <c r="J15" s="23" t="n"/>
    </row>
    <row r="16" ht="22" customHeight="1">
      <c r="A16" s="5" t="inlineStr">
        <is>
          <t>Chiffre d'Affaires</t>
        </is>
      </c>
      <c r="B16" s="30">
        <f>H10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2" customHeight="1">
      <c r="A17" s="23" t="inlineStr">
        <is>
          <t>Bénéfice Net</t>
        </is>
      </c>
      <c r="B17" s="22">
        <f>I10</f>
        <v/>
      </c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 ht="22" customHeight="1">
      <c r="A18" s="5" t="inlineStr">
        <is>
          <t>Marge Nette</t>
        </is>
      </c>
      <c r="B18" s="31">
        <f>J10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</row>
  </sheetData>
  <mergeCells count="3">
    <mergeCell ref="A2:K2"/>
    <mergeCell ref="A1:K1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2026-05-31T15:10:51Z</dcterms:created>
  <dcterms:modified xsi:type="dcterms:W3CDTF">2026-05-31T15:10:51Z</dcterms:modified>
</cp:coreProperties>
</file>